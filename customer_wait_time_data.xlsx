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Current Process" sheetId="3" state="visible" r:id="rId5"/>
    <sheet name="Express Lin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Key assumption: change this to test other thresholds.</t>
        </r>
      </text>
    </comment>
  </commentList>
</comments>
</file>

<file path=xl/sharedStrings.xml><?xml version="1.0" encoding="utf-8"?>
<sst xmlns="http://schemas.openxmlformats.org/spreadsheetml/2006/main" count="57" uniqueCount="40">
  <si>
    <t xml:space="preserve">Metric</t>
  </si>
  <si>
    <t xml:space="preserve">Current Process</t>
  </si>
  <si>
    <t xml:space="preserve">Express Line</t>
  </si>
  <si>
    <t xml:space="preserve">Average wait, all customers (min)</t>
  </si>
  <si>
    <t xml:space="preserve">Average wait, quick transactions (min)</t>
  </si>
  <si>
    <t xml:space="preserve">Average wait, long transactions (min)</t>
  </si>
  <si>
    <t xml:space="preserve">Longest single wait (min)</t>
  </si>
  <si>
    <t xml:space="preserve">Customers who waited</t>
  </si>
  <si>
    <t xml:space="preserve">Staff serving the queue</t>
  </si>
  <si>
    <t xml:space="preserve">1</t>
  </si>
  <si>
    <t xml:space="preserve">2 (no one added)</t>
  </si>
  <si>
    <t xml:space="preserve">Reduction in average wait</t>
  </si>
  <si>
    <t xml:space="preserve">Assumption</t>
  </si>
  <si>
    <t xml:space="preserve">Value</t>
  </si>
  <si>
    <t xml:space="preserve">Notes</t>
  </si>
  <si>
    <t xml:space="preserve">Long-transaction threshold (min)</t>
  </si>
  <si>
    <t xml:space="preserve">Transactions this long or longer are sent to the personal banker in the express-line scenario</t>
  </si>
  <si>
    <t xml:space="preserve">Staff in current process</t>
  </si>
  <si>
    <t xml:space="preserve">1 teller</t>
  </si>
  <si>
    <t xml:space="preserve">Personal banker does other work and does not serve the queue</t>
  </si>
  <si>
    <t xml:space="preserve">Staff in express-line process</t>
  </si>
  <si>
    <t xml:space="preserve">1 teller + 1 personal banker</t>
  </si>
  <si>
    <t xml:space="preserve">Same people, no one added; banker takes long transactions only</t>
  </si>
  <si>
    <t xml:space="preserve">Queue rule</t>
  </si>
  <si>
    <t xml:space="preserve">First come, first served</t>
  </si>
  <si>
    <t xml:space="preserve">Each server serves its own queue in arrival order</t>
  </si>
  <si>
    <t xml:space="preserve">Data source</t>
  </si>
  <si>
    <t xml:space="preserve">Simulated</t>
  </si>
  <si>
    <t xml:space="preserve">Created for educational purposes; 8 customers, 9:00–9:33</t>
  </si>
  <si>
    <t xml:space="preserve">Customer</t>
  </si>
  <si>
    <t xml:space="preserve">Arrival Time</t>
  </si>
  <si>
    <t xml:space="preserve">Service Time (min)</t>
  </si>
  <si>
    <t xml:space="preserve">Transaction Type</t>
  </si>
  <si>
    <t xml:space="preserve">Server</t>
  </si>
  <si>
    <t xml:space="preserve">Service Start</t>
  </si>
  <si>
    <t xml:space="preserve">Service End</t>
  </si>
  <si>
    <t xml:space="preserve">Wait Time (min)</t>
  </si>
  <si>
    <t xml:space="preserve">Teller</t>
  </si>
  <si>
    <t xml:space="preserve">Average wait (min)</t>
  </si>
  <si>
    <t xml:space="preserve">Blue = simulated inputs (arrival and service times). Black = formulas.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</si>
</sst>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%"/>
    <numFmt numFmtId="167" formatCode="h: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f aca="false">AVERAGE('Current Process'!H2:H9)</f>
        <v>6.875</v>
      </c>
      <c r="C2" s="3" t="n">
        <f aca="false">AVERAGE('Express Line'!H2:H9)</f>
        <v>1.75</v>
      </c>
    </row>
    <row r="3" customFormat="false" ht="15" hidden="false" customHeight="false" outlineLevel="0" collapsed="false">
      <c r="A3" s="2" t="s">
        <v>4</v>
      </c>
      <c r="B3" s="3" t="n">
        <f aca="false">AVERAGEIF('Current Process'!D2:D9,"Quick",'Current Process'!H2:H9)</f>
        <v>6.83333333333333</v>
      </c>
      <c r="C3" s="3" t="n">
        <f aca="false">AVERAGEIF('Express Line'!D2:D9,"Quick",'Express Line'!H2:H9)</f>
        <v>0.666666666666667</v>
      </c>
    </row>
    <row r="4" customFormat="false" ht="15" hidden="false" customHeight="false" outlineLevel="0" collapsed="false">
      <c r="A4" s="2" t="s">
        <v>5</v>
      </c>
      <c r="B4" s="3" t="n">
        <f aca="false">AVERAGEIF('Current Process'!D2:D9,"Long",'Current Process'!H2:H9)</f>
        <v>7</v>
      </c>
      <c r="C4" s="3" t="n">
        <f aca="false">AVERAGEIF('Express Line'!D2:D9,"Long",'Express Line'!H2:H9)</f>
        <v>5</v>
      </c>
    </row>
    <row r="5" customFormat="false" ht="15" hidden="false" customHeight="false" outlineLevel="0" collapsed="false">
      <c r="A5" s="2" t="s">
        <v>6</v>
      </c>
      <c r="B5" s="3" t="n">
        <f aca="false">MAX('Current Process'!H2:H9)</f>
        <v>28</v>
      </c>
      <c r="C5" s="3" t="n">
        <f aca="false">MAX('Express Line'!H2:H9)</f>
        <v>10</v>
      </c>
    </row>
    <row r="6" customFormat="false" ht="15" hidden="false" customHeight="false" outlineLevel="0" collapsed="false">
      <c r="A6" s="2" t="s">
        <v>7</v>
      </c>
      <c r="B6" s="2" t="n">
        <f aca="false">COUNTIF('Current Process'!H2:H9,"&gt;0")</f>
        <v>4</v>
      </c>
      <c r="C6" s="2" t="n">
        <f aca="false">COUNTIF('Express Line'!H2:H9,"&gt;0")</f>
        <v>3</v>
      </c>
    </row>
    <row r="7" customFormat="false" ht="15" hidden="false" customHeight="false" outlineLevel="0" collapsed="false">
      <c r="A7" s="2" t="s">
        <v>8</v>
      </c>
      <c r="B7" s="4" t="s">
        <v>9</v>
      </c>
      <c r="C7" s="4" t="s">
        <v>10</v>
      </c>
    </row>
    <row r="8" customFormat="false" ht="15" hidden="false" customHeight="false" outlineLevel="0" collapsed="false">
      <c r="A8" s="2"/>
      <c r="B8" s="2"/>
      <c r="C8" s="2"/>
    </row>
    <row r="9" customFormat="false" ht="15" hidden="false" customHeight="false" outlineLevel="0" collapsed="false">
      <c r="A9" s="5" t="s">
        <v>11</v>
      </c>
      <c r="B9" s="2"/>
      <c r="C9" s="6" t="n">
        <f aca="false">1-C2/B2</f>
        <v>0.745454545454546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7" t="s">
        <v>12</v>
      </c>
      <c r="B1" s="7" t="s">
        <v>13</v>
      </c>
      <c r="C1" s="7" t="s">
        <v>14</v>
      </c>
    </row>
    <row r="2" customFormat="false" ht="15" hidden="false" customHeight="false" outlineLevel="0" collapsed="false">
      <c r="A2" s="2" t="s">
        <v>15</v>
      </c>
      <c r="B2" s="8" t="n">
        <v>10</v>
      </c>
      <c r="C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</row>
    <row r="6" customFormat="false" ht="15" hidden="false" customHeight="false" outlineLevel="0" collapsed="false">
      <c r="A6" s="2" t="s">
        <v>26</v>
      </c>
      <c r="B6" s="2" t="s">
        <v>27</v>
      </c>
      <c r="C6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8" min="6" style="0" width="12"/>
  </cols>
  <sheetData>
    <row r="1" customFormat="false" ht="30" hidden="false" customHeight="true" outlineLevel="0" collapsed="false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</row>
    <row r="2" customFormat="false" ht="15" hidden="false" customHeight="false" outlineLevel="0" collapsed="false">
      <c r="A2" s="10" t="n">
        <v>1</v>
      </c>
      <c r="B2" s="11" t="n">
        <v>0.375</v>
      </c>
      <c r="C2" s="12" t="n">
        <v>4</v>
      </c>
      <c r="D2" s="10" t="str">
        <f aca="false">IF(C2&gt;=Assumptions!$B$2,"Long","Quick")</f>
        <v>Quick</v>
      </c>
      <c r="E2" s="10" t="s">
        <v>37</v>
      </c>
      <c r="F2" s="13" t="n">
        <f aca="false">B2</f>
        <v>0.375</v>
      </c>
      <c r="G2" s="13" t="n">
        <f aca="false">F2+C2/1440</f>
        <v>0.377777777777778</v>
      </c>
      <c r="H2" s="10" t="n">
        <f aca="false">ROUND((F2-B2)*1440,0)</f>
        <v>0</v>
      </c>
    </row>
    <row r="3" customFormat="false" ht="15" hidden="false" customHeight="false" outlineLevel="0" collapsed="false">
      <c r="A3" s="10" t="n">
        <v>2</v>
      </c>
      <c r="B3" s="11" t="n">
        <v>0.376388888888889</v>
      </c>
      <c r="C3" s="12" t="n">
        <v>4</v>
      </c>
      <c r="D3" s="10" t="str">
        <f aca="false">IF(C3&gt;=Assumptions!$B$2,"Long","Quick")</f>
        <v>Quick</v>
      </c>
      <c r="E3" s="10" t="s">
        <v>37</v>
      </c>
      <c r="F3" s="13" t="n">
        <f aca="false">MAX(B3,_xlfn.MAXIFS(G$2:G2,E$2:E2,E3))</f>
        <v>0.377777777777778</v>
      </c>
      <c r="G3" s="13" t="n">
        <f aca="false">F3+C3/1440</f>
        <v>0.380555555555556</v>
      </c>
      <c r="H3" s="10" t="n">
        <f aca="false">ROUND((F3-B3)*1440,0)</f>
        <v>2</v>
      </c>
    </row>
    <row r="4" customFormat="false" ht="15" hidden="false" customHeight="false" outlineLevel="0" collapsed="false">
      <c r="A4" s="10" t="n">
        <v>3</v>
      </c>
      <c r="B4" s="11" t="n">
        <v>0.381944444444444</v>
      </c>
      <c r="C4" s="12" t="n">
        <v>3</v>
      </c>
      <c r="D4" s="10" t="str">
        <f aca="false">IF(C4&gt;=Assumptions!$B$2,"Long","Quick")</f>
        <v>Quick</v>
      </c>
      <c r="E4" s="10" t="s">
        <v>37</v>
      </c>
      <c r="F4" s="13" t="n">
        <f aca="false">MAX(B4,_xlfn.MAXIFS(G$2:G3,E$2:E3,E4))</f>
        <v>0.381944444444444</v>
      </c>
      <c r="G4" s="13" t="n">
        <f aca="false">F4+C4/1440</f>
        <v>0.384027777777778</v>
      </c>
      <c r="H4" s="10" t="n">
        <f aca="false">ROUND((F4-B4)*1440,0)</f>
        <v>0</v>
      </c>
    </row>
    <row r="5" customFormat="false" ht="15" hidden="false" customHeight="false" outlineLevel="0" collapsed="false">
      <c r="A5" s="10" t="n">
        <v>4</v>
      </c>
      <c r="B5" s="11" t="n">
        <v>0.385416666666667</v>
      </c>
      <c r="C5" s="12" t="n">
        <v>3</v>
      </c>
      <c r="D5" s="10" t="str">
        <f aca="false">IF(C5&gt;=Assumptions!$B$2,"Long","Quick")</f>
        <v>Quick</v>
      </c>
      <c r="E5" s="10" t="s">
        <v>37</v>
      </c>
      <c r="F5" s="13" t="n">
        <f aca="false">MAX(B5,_xlfn.MAXIFS(G$2:G4,E$2:E4,E5))</f>
        <v>0.385416666666667</v>
      </c>
      <c r="G5" s="13" t="n">
        <f aca="false">F5+C5/1440</f>
        <v>0.3875</v>
      </c>
      <c r="H5" s="10" t="n">
        <f aca="false">ROUND((F5-B5)*1440,0)</f>
        <v>0</v>
      </c>
    </row>
    <row r="6" customFormat="false" ht="15" hidden="false" customHeight="false" outlineLevel="0" collapsed="false">
      <c r="A6" s="10" t="n">
        <v>5</v>
      </c>
      <c r="B6" s="11" t="n">
        <v>0.395833333333333</v>
      </c>
      <c r="C6" s="12" t="n">
        <v>12</v>
      </c>
      <c r="D6" s="10" t="str">
        <f aca="false">IF(C6&gt;=Assumptions!$B$2,"Long","Quick")</f>
        <v>Long</v>
      </c>
      <c r="E6" s="10" t="s">
        <v>37</v>
      </c>
      <c r="F6" s="13" t="n">
        <f aca="false">MAX(B6,_xlfn.MAXIFS(G$2:G5,E$2:E5,E6))</f>
        <v>0.395833333333333</v>
      </c>
      <c r="G6" s="13" t="n">
        <f aca="false">F6+C6/1440</f>
        <v>0.404166666666667</v>
      </c>
      <c r="H6" s="10" t="n">
        <f aca="false">ROUND((F6-B6)*1440,0)</f>
        <v>0</v>
      </c>
    </row>
    <row r="7" customFormat="false" ht="15" hidden="false" customHeight="false" outlineLevel="0" collapsed="false">
      <c r="A7" s="10" t="n">
        <v>6</v>
      </c>
      <c r="B7" s="11" t="n">
        <v>0.396527777777778</v>
      </c>
      <c r="C7" s="12" t="n">
        <v>4</v>
      </c>
      <c r="D7" s="10" t="str">
        <f aca="false">IF(C7&gt;=Assumptions!$B$2,"Long","Quick")</f>
        <v>Quick</v>
      </c>
      <c r="E7" s="10" t="s">
        <v>37</v>
      </c>
      <c r="F7" s="13" t="n">
        <f aca="false">MAX(B7,_xlfn.MAXIFS(G$2:G6,E$2:E6,E7))</f>
        <v>0.404166666666667</v>
      </c>
      <c r="G7" s="13" t="n">
        <f aca="false">F7+C7/1440</f>
        <v>0.406944444444445</v>
      </c>
      <c r="H7" s="10" t="n">
        <f aca="false">ROUND((F7-B7)*1440,0)</f>
        <v>11</v>
      </c>
    </row>
    <row r="8" customFormat="false" ht="15" hidden="false" customHeight="false" outlineLevel="0" collapsed="false">
      <c r="A8" s="10" t="n">
        <v>7</v>
      </c>
      <c r="B8" s="11" t="n">
        <v>0.397222222222222</v>
      </c>
      <c r="C8" s="12" t="n">
        <v>15</v>
      </c>
      <c r="D8" s="10" t="str">
        <f aca="false">IF(C8&gt;=Assumptions!$B$2,"Long","Quick")</f>
        <v>Long</v>
      </c>
      <c r="E8" s="10" t="s">
        <v>37</v>
      </c>
      <c r="F8" s="13" t="n">
        <f aca="false">MAX(B8,_xlfn.MAXIFS(G$2:G7,E$2:E7,E8))</f>
        <v>0.406944444444445</v>
      </c>
      <c r="G8" s="13" t="n">
        <f aca="false">F8+C8/1440</f>
        <v>0.417361111111111</v>
      </c>
      <c r="H8" s="10" t="n">
        <f aca="false">ROUND((F8-B8)*1440,0)</f>
        <v>14</v>
      </c>
    </row>
    <row r="9" customFormat="false" ht="15" hidden="false" customHeight="false" outlineLevel="0" collapsed="false">
      <c r="A9" s="10" t="n">
        <v>8</v>
      </c>
      <c r="B9" s="11" t="n">
        <v>0.397916666666667</v>
      </c>
      <c r="C9" s="12" t="n">
        <v>4</v>
      </c>
      <c r="D9" s="10" t="str">
        <f aca="false">IF(C9&gt;=Assumptions!$B$2,"Long","Quick")</f>
        <v>Quick</v>
      </c>
      <c r="E9" s="10" t="s">
        <v>37</v>
      </c>
      <c r="F9" s="13" t="n">
        <f aca="false">MAX(B9,_xlfn.MAXIFS(G$2:G8,E$2:E8,E9))</f>
        <v>0.417361111111111</v>
      </c>
      <c r="G9" s="13" t="n">
        <f aca="false">F9+C9/1440</f>
        <v>0.420138888888889</v>
      </c>
      <c r="H9" s="10" t="n">
        <f aca="false">ROUND((F9-B9)*1440,0)</f>
        <v>28</v>
      </c>
    </row>
    <row r="11" customFormat="false" ht="15" hidden="false" customHeight="false" outlineLevel="0" collapsed="false">
      <c r="G11" s="5" t="s">
        <v>38</v>
      </c>
      <c r="H11" s="14" t="n">
        <f aca="false">AVERAGE(H2:H9)</f>
        <v>6.875</v>
      </c>
    </row>
    <row r="13" customFormat="false" ht="15" hidden="false" customHeight="false" outlineLevel="0" collapsed="false">
      <c r="A13" s="1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8" min="6" style="0" width="12"/>
  </cols>
  <sheetData>
    <row r="1" customFormat="false" ht="30" hidden="false" customHeight="true" outlineLevel="0" collapsed="false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</row>
    <row r="2" customFormat="false" ht="15" hidden="false" customHeight="false" outlineLevel="0" collapsed="false">
      <c r="A2" s="10" t="n">
        <v>1</v>
      </c>
      <c r="B2" s="11" t="n">
        <v>0.375</v>
      </c>
      <c r="C2" s="12" t="n">
        <v>4</v>
      </c>
      <c r="D2" s="10" t="str">
        <f aca="false">IF(C2&gt;=Assumptions!$B$2,"Long","Quick")</f>
        <v>Quick</v>
      </c>
      <c r="E2" s="10" t="str">
        <f aca="false">IF(D2="Long","Personal Banker","Teller")</f>
        <v>Teller</v>
      </c>
      <c r="F2" s="13" t="n">
        <f aca="false">B2</f>
        <v>0.375</v>
      </c>
      <c r="G2" s="13" t="n">
        <f aca="false">F2+C2/1440</f>
        <v>0.377777777777778</v>
      </c>
      <c r="H2" s="10" t="n">
        <f aca="false">ROUND((F2-B2)*1440,0)</f>
        <v>0</v>
      </c>
    </row>
    <row r="3" customFormat="false" ht="15" hidden="false" customHeight="false" outlineLevel="0" collapsed="false">
      <c r="A3" s="10" t="n">
        <v>2</v>
      </c>
      <c r="B3" s="11" t="n">
        <v>0.376388888888889</v>
      </c>
      <c r="C3" s="12" t="n">
        <v>4</v>
      </c>
      <c r="D3" s="10" t="str">
        <f aca="false">IF(C3&gt;=Assumptions!$B$2,"Long","Quick")</f>
        <v>Quick</v>
      </c>
      <c r="E3" s="10" t="str">
        <f aca="false">IF(D3="Long","Personal Banker","Teller")</f>
        <v>Teller</v>
      </c>
      <c r="F3" s="13" t="n">
        <f aca="false">MAX(B3,_xlfn.MAXIFS(G$2:G2,E$2:E2,E3))</f>
        <v>0.377777777777778</v>
      </c>
      <c r="G3" s="13" t="n">
        <f aca="false">F3+C3/1440</f>
        <v>0.380555555555556</v>
      </c>
      <c r="H3" s="10" t="n">
        <f aca="false">ROUND((F3-B3)*1440,0)</f>
        <v>2</v>
      </c>
    </row>
    <row r="4" customFormat="false" ht="15" hidden="false" customHeight="false" outlineLevel="0" collapsed="false">
      <c r="A4" s="10" t="n">
        <v>3</v>
      </c>
      <c r="B4" s="11" t="n">
        <v>0.381944444444444</v>
      </c>
      <c r="C4" s="12" t="n">
        <v>3</v>
      </c>
      <c r="D4" s="10" t="str">
        <f aca="false">IF(C4&gt;=Assumptions!$B$2,"Long","Quick")</f>
        <v>Quick</v>
      </c>
      <c r="E4" s="10" t="str">
        <f aca="false">IF(D4="Long","Personal Banker","Teller")</f>
        <v>Teller</v>
      </c>
      <c r="F4" s="13" t="n">
        <f aca="false">MAX(B4,_xlfn.MAXIFS(G$2:G3,E$2:E3,E4))</f>
        <v>0.381944444444444</v>
      </c>
      <c r="G4" s="13" t="n">
        <f aca="false">F4+C4/1440</f>
        <v>0.384027777777778</v>
      </c>
      <c r="H4" s="10" t="n">
        <f aca="false">ROUND((F4-B4)*1440,0)</f>
        <v>0</v>
      </c>
    </row>
    <row r="5" customFormat="false" ht="15" hidden="false" customHeight="false" outlineLevel="0" collapsed="false">
      <c r="A5" s="10" t="n">
        <v>4</v>
      </c>
      <c r="B5" s="11" t="n">
        <v>0.385416666666667</v>
      </c>
      <c r="C5" s="12" t="n">
        <v>3</v>
      </c>
      <c r="D5" s="10" t="str">
        <f aca="false">IF(C5&gt;=Assumptions!$B$2,"Long","Quick")</f>
        <v>Quick</v>
      </c>
      <c r="E5" s="10" t="str">
        <f aca="false">IF(D5="Long","Personal Banker","Teller")</f>
        <v>Teller</v>
      </c>
      <c r="F5" s="13" t="n">
        <f aca="false">MAX(B5,_xlfn.MAXIFS(G$2:G4,E$2:E4,E5))</f>
        <v>0.385416666666667</v>
      </c>
      <c r="G5" s="13" t="n">
        <f aca="false">F5+C5/1440</f>
        <v>0.3875</v>
      </c>
      <c r="H5" s="10" t="n">
        <f aca="false">ROUND((F5-B5)*1440,0)</f>
        <v>0</v>
      </c>
    </row>
    <row r="6" customFormat="false" ht="15" hidden="false" customHeight="false" outlineLevel="0" collapsed="false">
      <c r="A6" s="10" t="n">
        <v>5</v>
      </c>
      <c r="B6" s="11" t="n">
        <v>0.395833333333333</v>
      </c>
      <c r="C6" s="12" t="n">
        <v>12</v>
      </c>
      <c r="D6" s="10" t="str">
        <f aca="false">IF(C6&gt;=Assumptions!$B$2,"Long","Quick")</f>
        <v>Long</v>
      </c>
      <c r="E6" s="10" t="str">
        <f aca="false">IF(D6="Long","Personal Banker","Teller")</f>
        <v>Personal Banker</v>
      </c>
      <c r="F6" s="13" t="n">
        <f aca="false">MAX(B6,_xlfn.MAXIFS(G$2:G5,E$2:E5,E6))</f>
        <v>0.395833333333333</v>
      </c>
      <c r="G6" s="13" t="n">
        <f aca="false">F6+C6/1440</f>
        <v>0.404166666666667</v>
      </c>
      <c r="H6" s="10" t="n">
        <f aca="false">ROUND((F6-B6)*1440,0)</f>
        <v>0</v>
      </c>
    </row>
    <row r="7" customFormat="false" ht="15" hidden="false" customHeight="false" outlineLevel="0" collapsed="false">
      <c r="A7" s="10" t="n">
        <v>6</v>
      </c>
      <c r="B7" s="11" t="n">
        <v>0.396527777777778</v>
      </c>
      <c r="C7" s="12" t="n">
        <v>4</v>
      </c>
      <c r="D7" s="10" t="str">
        <f aca="false">IF(C7&gt;=Assumptions!$B$2,"Long","Quick")</f>
        <v>Quick</v>
      </c>
      <c r="E7" s="10" t="str">
        <f aca="false">IF(D7="Long","Personal Banker","Teller")</f>
        <v>Teller</v>
      </c>
      <c r="F7" s="13" t="n">
        <f aca="false">MAX(B7,_xlfn.MAXIFS(G$2:G6,E$2:E6,E7))</f>
        <v>0.396527777777778</v>
      </c>
      <c r="G7" s="13" t="n">
        <f aca="false">F7+C7/1440</f>
        <v>0.399305555555556</v>
      </c>
      <c r="H7" s="10" t="n">
        <f aca="false">ROUND((F7-B7)*1440,0)</f>
        <v>0</v>
      </c>
    </row>
    <row r="8" customFormat="false" ht="15" hidden="false" customHeight="false" outlineLevel="0" collapsed="false">
      <c r="A8" s="10" t="n">
        <v>7</v>
      </c>
      <c r="B8" s="11" t="n">
        <v>0.397222222222222</v>
      </c>
      <c r="C8" s="12" t="n">
        <v>15</v>
      </c>
      <c r="D8" s="10" t="str">
        <f aca="false">IF(C8&gt;=Assumptions!$B$2,"Long","Quick")</f>
        <v>Long</v>
      </c>
      <c r="E8" s="10" t="str">
        <f aca="false">IF(D8="Long","Personal Banker","Teller")</f>
        <v>Personal Banker</v>
      </c>
      <c r="F8" s="13" t="n">
        <f aca="false">MAX(B8,_xlfn.MAXIFS(G$2:G7,E$2:E7,E8))</f>
        <v>0.404166666666667</v>
      </c>
      <c r="G8" s="13" t="n">
        <f aca="false">F8+C8/1440</f>
        <v>0.414583333333333</v>
      </c>
      <c r="H8" s="10" t="n">
        <f aca="false">ROUND((F8-B8)*1440,0)</f>
        <v>10</v>
      </c>
    </row>
    <row r="9" customFormat="false" ht="15" hidden="false" customHeight="false" outlineLevel="0" collapsed="false">
      <c r="A9" s="10" t="n">
        <v>8</v>
      </c>
      <c r="B9" s="11" t="n">
        <v>0.397916666666667</v>
      </c>
      <c r="C9" s="12" t="n">
        <v>4</v>
      </c>
      <c r="D9" s="10" t="str">
        <f aca="false">IF(C9&gt;=Assumptions!$B$2,"Long","Quick")</f>
        <v>Quick</v>
      </c>
      <c r="E9" s="10" t="str">
        <f aca="false">IF(D9="Long","Personal Banker","Teller")</f>
        <v>Teller</v>
      </c>
      <c r="F9" s="13" t="n">
        <f aca="false">MAX(B9,_xlfn.MAXIFS(G$2:G8,E$2:E8,E9))</f>
        <v>0.399305555555556</v>
      </c>
      <c r="G9" s="13" t="n">
        <f aca="false">F9+C9/1440</f>
        <v>0.402083333333333</v>
      </c>
      <c r="H9" s="10" t="n">
        <f aca="false">ROUND((F9-B9)*1440,0)</f>
        <v>2</v>
      </c>
    </row>
    <row r="11" customFormat="false" ht="15" hidden="false" customHeight="false" outlineLevel="0" collapsed="false">
      <c r="G11" s="5" t="s">
        <v>38</v>
      </c>
      <c r="H11" s="14" t="n">
        <f aca="false">AVERAGE(H2:H9)</f>
        <v>1.75</v>
      </c>
    </row>
    <row r="13" customFormat="false" ht="15" hidden="false" customHeight="false" outlineLevel="0" collapsed="false">
      <c r="A13" s="1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2026-10-22T03:52:35Z</dcterms:created>
  <dc:creator>openpyxl</dc:creator>
  <dc:description/>
  <dc:language>en-US</dc:language>
  <cp:lastModifiedBy/>
  <dcterms:modified xsi:type="dcterms:W3CDTF">2026-10-22T03:52:35Z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